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<sst xmlns="http://schemas.openxmlformats.org/spreadsheetml/2006/main" count="34" uniqueCount="34">
  <si>
    <t>Variavéis:</t>
  </si>
  <si>
    <t>Explicaçoes:</t>
  </si>
  <si>
    <t>Variações:</t>
  </si>
  <si>
    <t>id_bo</t>
  </si>
  <si>
    <t>id_depa</t>
  </si>
  <si>
    <t>id_pm_fuc</t>
  </si>
  <si>
    <t>id_loc</t>
  </si>
  <si>
    <t>data_reg</t>
  </si>
  <si>
    <t>data_nas</t>
  </si>
  <si>
    <t>data_uvw</t>
  </si>
  <si>
    <t>loc_reg</t>
  </si>
  <si>
    <t>loc_bai</t>
  </si>
  <si>
    <t>loc_sub</t>
  </si>
  <si>
    <t>geo_lat</t>
  </si>
  <si>
    <t>geo_log</t>
  </si>
  <si>
    <t>nm_pm</t>
  </si>
  <si>
    <t>nm_vitima</t>
  </si>
  <si>
    <t>nm_mae</t>
  </si>
  <si>
    <t>nm_pai</t>
  </si>
  <si>
    <t>tp_civ</t>
  </si>
  <si>
    <t>tp_rac</t>
  </si>
  <si>
    <t>tp_sex</t>
  </si>
  <si>
    <t>tp_ida</t>
  </si>
  <si>
    <t>tp_obj</t>
  </si>
  <si>
    <t>tp_mod</t>
  </si>
  <si>
    <t>tp_mar</t>
  </si>
  <si>
    <t>tp_cor</t>
  </si>
  <si>
    <t>tp_ind</t>
  </si>
  <si>
    <t>tp_inf</t>
  </si>
  <si>
    <t>tp_com</t>
  </si>
  <si>
    <t>qtd_obj</t>
  </si>
  <si>
    <t>qtd_inf</t>
  </si>
  <si>
    <t>qtd_infc</t>
  </si>
  <si>
    <t>qtd_test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</si>
</sst>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tr">
        <f>IFERROR(__xludf.DUMMYFUNCTION("AI(""Preencha com um valor adequado para esta célula com base no contexto da tabela"")"),"Indentifica o número do Boletim de ocorrência.")</f>
        <v>Indentifica o número do Boletim de ocorrência.</v>
      </c>
      <c r="C2" s="4" t="str">
        <f>IFERROR(__xludf.DUMMYFUNCTION("AI(""Preencha com um valor adequado para esta célula com base no contexto da tabela"")"),"Numérico")</f>
        <v>Numérico</v>
      </c>
    </row>
    <row r="3">
      <c r="A3" s="2" t="s">
        <v>4</v>
      </c>
      <c r="B3" s="3" t="str">
        <f>IFERROR(__xludf.DUMMYFUNCTION("AI(""Preencha com um valor adequado para esta célula com base no contexto da tabela"")"),"Indentifica o número do departamento de ocorrência.")</f>
        <v>Indentifica o número do departamento de ocorrência.</v>
      </c>
      <c r="C3" s="4" t="str">
        <f>IFERROR(__xludf.DUMMYFUNCTION("AI(""Preencha com um valor adequado para esta célula com base no contexto da tabela"")"),"Numérico")</f>
        <v>Numérico</v>
      </c>
    </row>
    <row r="4">
      <c r="A4" s="2" t="s">
        <v>5</v>
      </c>
      <c r="B4" s="3" t="str">
        <f>IFERROR(__xludf.DUMMYFUNCTION("AI(""Preencha com um valor adequado para esta célula com base no contexto da tabela"")"),"Identifica o código ou número do funcionário.")</f>
        <v>Identifica o código ou número do funcionário.</v>
      </c>
      <c r="C4" s="4" t="str">
        <f>IFERROR(__xludf.DUMMYFUNCTION("AI(""Preencha com um valor adequado para esta célula com base no contexto da tabela"")"),"Numérico")</f>
        <v>Numérico</v>
      </c>
    </row>
    <row r="5">
      <c r="A5" s="2" t="s">
        <v>6</v>
      </c>
      <c r="B5" s="3" t="str">
        <f>IFERROR(__xludf.DUMMYFUNCTION("AI(""Preencha com um valor adequado para esta célula com base no contexto da tabela"")"),"Identifica o código de reconhecimento do departamento prestado.")</f>
        <v>Identifica o código de reconhecimento do departamento prestado.</v>
      </c>
      <c r="C5" s="4" t="str">
        <f>IFERROR(__xludf.DUMMYFUNCTION("AI(""Preencha com um valor adequado para esta célula com base no contexto da tabela"")"),"Numérico")</f>
        <v>Numérico</v>
      </c>
    </row>
    <row r="6">
      <c r="A6" s="2" t="s">
        <v>7</v>
      </c>
      <c r="B6" s="3" t="str">
        <f>IFERROR(__xludf.DUMMYFUNCTION("AI(""Preencha com um valor adequado para esta célula com base no contexto da tabela"")"),"Indica a data em que a ocorrência foi registrada.")</f>
        <v>Indica a data em que a ocorrência foi registrada.</v>
      </c>
      <c r="C6" s="4" t="str">
        <f>IFERROR(__xludf.DUMMYFUNCTION("AI(""Preencha com um valor adequado para esta célula com base no contexto da tabela"")"),"Data")</f>
        <v>Data</v>
      </c>
    </row>
    <row r="7">
      <c r="A7" s="2" t="s">
        <v>8</v>
      </c>
      <c r="B7" s="3" t="str">
        <f>IFERROR(__xludf.DUMMYFUNCTION("AI(""Preencha com um valor adequado para esta célula com base no contexto da tabela"")"),"Indica a data de nascimento.")</f>
        <v>Indica a data de nascimento.</v>
      </c>
      <c r="C7" s="4" t="str">
        <f>IFERROR(__xludf.DUMMYFUNCTION("AI(""Preencha com um valor adequado para esta célula com base no contexto da tabela"")"),"Data")</f>
        <v>Data</v>
      </c>
    </row>
    <row r="8">
      <c r="A8" s="2" t="s">
        <v>9</v>
      </c>
      <c r="B8" s="3" t="str">
        <f>IFERROR(__xludf.DUMMYFUNCTION("AI(""Preencha com um valor adequado para esta célula com base no contexto da tabela"")"),"Identifica a última data de atualização do caso.")</f>
        <v>Identifica a última data de atualização do caso.</v>
      </c>
      <c r="C8" s="4" t="str">
        <f>IFERROR(__xludf.DUMMYFUNCTION("AI(""Preencha com um valor adequado para esta célula com base no contexto da tabela"")"),"Data")</f>
        <v>Data</v>
      </c>
    </row>
    <row r="9">
      <c r="A9" s="2" t="s">
        <v>10</v>
      </c>
      <c r="B9" s="3" t="str">
        <f>IFERROR(__xludf.DUMMYFUNCTION("AI(""Preencha com um valor adequado para esta célula com base no contexto da tabela"")"),"Identifica a localização da região.")</f>
        <v>Identifica a localização da região.</v>
      </c>
      <c r="C9" s="4" t="str">
        <f>IFERROR(__xludf.DUMMYFUNCTION("AI(""Preencha com um valor adequado para esta célula com base no contexto da tabela"")"),"Texto")</f>
        <v>Texto</v>
      </c>
    </row>
    <row r="10">
      <c r="A10" s="2" t="s">
        <v>11</v>
      </c>
      <c r="B10" s="3" t="str">
        <f>IFERROR(__xludf.DUMMYFUNCTION("AI(""Preencha com um valor adequado para esta célula com base no contexto da tabela"")"),"Identifica o bairro da ocorrência.")</f>
        <v>Identifica o bairro da ocorrência.</v>
      </c>
      <c r="C10" s="4" t="str">
        <f>IFERROR(__xludf.DUMMYFUNCTION("AI(""Preencha com um valor adequado para esta célula com base no contexto da tabela"")"),"Texto")</f>
        <v>Texto</v>
      </c>
    </row>
    <row r="11">
      <c r="A11" s="2" t="s">
        <v>12</v>
      </c>
      <c r="B11" s="3" t="str">
        <f>IFERROR(__xludf.DUMMYFUNCTION("AI(""Preencha com um valor adequado para esta célula com base no contexto da tabela"")"),"Identifica a subprefeitura do local da ocorrência.")</f>
        <v>Identifica a subprefeitura do local da ocorrência.</v>
      </c>
      <c r="C11" s="4" t="str">
        <f>IFERROR(__xludf.DUMMYFUNCTION("AI(""Preencha com um valor adequado para esta célula com base no contexto da tabela"")"),"Texto")</f>
        <v>Texto</v>
      </c>
    </row>
    <row r="12">
      <c r="A12" s="2" t="s">
        <v>13</v>
      </c>
      <c r="B12" s="3" t="str">
        <f>IFERROR(__xludf.DUMMYFUNCTION("AI(""Preencha com um valor adequado para esta célula com base no contexto da tabela"")"),"Identifica a latitude da localização da ocorrência.")</f>
        <v>Identifica a latitude da localização da ocorrência.</v>
      </c>
      <c r="C12" s="4" t="str">
        <f>IFERROR(__xludf.DUMMYFUNCTION("AI(""Preencha com um valor adequado para esta célula com base no contexto da tabela"")"),"Numérico")</f>
        <v>Numérico</v>
      </c>
    </row>
    <row r="13">
      <c r="A13" s="2" t="s">
        <v>14</v>
      </c>
      <c r="B13" s="3" t="str">
        <f>IFERROR(__xludf.DUMMYFUNCTION("AI(""Preencha com um valor adequado para esta célula com base no contexto da tabela"")"),"Identifica a longitude do local da ocorrência.")</f>
        <v>Identifica a longitude do local da ocorrência.</v>
      </c>
      <c r="C13" s="4" t="str">
        <f>IFERROR(__xludf.DUMMYFUNCTION("AI(""Preencha com um valor adequado para esta célula com base no contexto da tabela"")"),"Numérico")</f>
        <v>Numérico</v>
      </c>
    </row>
    <row r="14">
      <c r="A14" s="2" t="s">
        <v>15</v>
      </c>
      <c r="B14" s="3" t="str">
        <f>IFERROR(__xludf.DUMMYFUNCTION("AI(""Preencha com um valor adequado para esta célula com base no contexto da tabela"")"),"Identifica o nome do funcionário.")</f>
        <v>Identifica o nome do funcionário.</v>
      </c>
      <c r="C14" s="4" t="str">
        <f>IFERROR(__xludf.DUMMYFUNCTION("AI(""Preencha com um valor adequado para esta célula com base no contexto da tabela"")"),"Texto")</f>
        <v>Texto</v>
      </c>
    </row>
    <row r="15">
      <c r="A15" s="2" t="s">
        <v>16</v>
      </c>
      <c r="B15" s="3" t="str">
        <f>IFERROR(__xludf.DUMMYFUNCTION("AI(""Preencha com um valor adequado para esta célula com base no contexto da tabela"")"),"Identifica o nome da vítima.")</f>
        <v>Identifica o nome da vítima.</v>
      </c>
      <c r="C15" s="4" t="str">
        <f>IFERROR(__xludf.DUMMYFUNCTION("AI(""Preencha com um valor adequado para esta célula com base no contexto da tabela"")"),"Texto")</f>
        <v>Texto</v>
      </c>
    </row>
    <row r="16">
      <c r="A16" s="2" t="s">
        <v>17</v>
      </c>
      <c r="B16" s="3" t="str">
        <f>IFERROR(__xludf.DUMMYFUNCTION("AI(""Preencha com um valor adequado para esta célula com base no contexto da tabela"")"),"Identifica o nome da mãe da vítima.")</f>
        <v>Identifica o nome da mãe da vítima.</v>
      </c>
      <c r="C16" s="4" t="str">
        <f>IFERROR(__xludf.DUMMYFUNCTION("AI(""Preencha com um valor adequado para esta célula com base no contexto da tabela"")"),"Texto")</f>
        <v>Texto</v>
      </c>
    </row>
    <row r="17">
      <c r="A17" s="2" t="s">
        <v>18</v>
      </c>
      <c r="B17" s="3" t="str">
        <f>IFERROR(__xludf.DUMMYFUNCTION("AI(""Preencha com um valor adequado para esta célula com base no contexto da tabela"")"),"Identifica o nome do pai da vítima.")</f>
        <v>Identifica o nome do pai da vítima.</v>
      </c>
      <c r="C17" s="4" t="str">
        <f>IFERROR(__xludf.DUMMYFUNCTION("AI(""Preencha com um valor adequado para esta célula com base no contexto da tabela"")"),"Texto")</f>
        <v>Texto</v>
      </c>
    </row>
    <row r="18">
      <c r="A18" s="2" t="s">
        <v>19</v>
      </c>
      <c r="B18" s="3" t="str">
        <f>IFERROR(__xludf.DUMMYFUNCTION("AI(""Preencha com um valor adequado para esta célula com base no contexto da tabela"")"),"Identifica o estado civil.")</f>
        <v>Identifica o estado civil.</v>
      </c>
      <c r="C18" s="4" t="str">
        <f>IFERROR(__xludf.DUMMYFUNCTION("AI(""Preencha com um valor adequado para esta célula com base no contexto da tabela"")"),"Texto")</f>
        <v>Texto</v>
      </c>
    </row>
    <row r="19">
      <c r="A19" s="2" t="s">
        <v>20</v>
      </c>
      <c r="B19" s="3" t="str">
        <f>IFERROR(__xludf.DUMMYFUNCTION("AI(""Preencha com um valor adequado para esta célula com base no contexto da tabela"")"),"Identifica a raça da pessoa envolvida na ocorrência.")</f>
        <v>Identifica a raça da pessoa envolvida na ocorrência.</v>
      </c>
      <c r="C19" s="4" t="str">
        <f>IFERROR(__xludf.DUMMYFUNCTION("AI(""Preencha com um valor adequado para esta célula com base no contexto da tabela"")"),"Texto")</f>
        <v>Texto</v>
      </c>
    </row>
    <row r="20">
      <c r="A20" s="2" t="s">
        <v>21</v>
      </c>
      <c r="B20" s="3" t="str">
        <f>IFERROR(__xludf.DUMMYFUNCTION("AI(""Preencha com um valor adequado para esta célula com base no contexto da tabela"")"),"Identifica o sexo.")</f>
        <v>Identifica o sexo.</v>
      </c>
      <c r="C20" s="4" t="str">
        <f>IFERROR(__xludf.DUMMYFUNCTION("AI(""Preencha com um valor adequado para esta célula com base no contexto da tabela"")"),"Texto")</f>
        <v>Texto</v>
      </c>
    </row>
    <row r="21">
      <c r="A21" s="2" t="s">
        <v>22</v>
      </c>
      <c r="B21" s="3" t="str">
        <f>IFERROR(__xludf.DUMMYFUNCTION("AI(""Preencha com um valor adequado para esta célula com base no contexto da tabela"")"),"Identifica a idade da vítima.")</f>
        <v>Identifica a idade da vítima.</v>
      </c>
      <c r="C21" s="4" t="str">
        <f>IFERROR(__xludf.DUMMYFUNCTION("AI(""Preencha com um valor adequado para esta célula com base no contexto da tabela"")"),"Numérico")</f>
        <v>Numérico</v>
      </c>
    </row>
    <row r="22">
      <c r="A22" s="2" t="s">
        <v>23</v>
      </c>
      <c r="B22" s="3" t="str">
        <f>IFERROR(__xludf.DUMMYFUNCTION("AI(""Preencha com um valor adequado para esta célula com base no contexto da tabela"")"),"Identifica o tipo de objeto envolvido na ocorrência.")</f>
        <v>Identifica o tipo de objeto envolvido na ocorrência.</v>
      </c>
      <c r="C22" s="4" t="str">
        <f>IFERROR(__xludf.DUMMYFUNCTION("AI(""Preencha com um valor adequado para esta célula com base no contexto da tabela"")"),"Texto")</f>
        <v>Texto</v>
      </c>
    </row>
    <row r="23">
      <c r="A23" s="2" t="s">
        <v>24</v>
      </c>
      <c r="B23" s="3" t="str">
        <f>IFERROR(__xludf.DUMMYFUNCTION("AI(""Preencha com um valor adequado para esta célula com base no contexto da tabela"")"),"Identifica o modelo do objeto envolvido na ocorrência.")</f>
        <v>Identifica o modelo do objeto envolvido na ocorrência.</v>
      </c>
      <c r="C23" s="4" t="str">
        <f>IFERROR(__xludf.DUMMYFUNCTION("AI(""Preencha com um valor adequado para esta célula com base no contexto da tabela"")"),"Texto")</f>
        <v>Texto</v>
      </c>
    </row>
    <row r="24">
      <c r="A24" s="2" t="s">
        <v>25</v>
      </c>
      <c r="B24" s="3" t="str">
        <f>IFERROR(__xludf.DUMMYFUNCTION("AI(""Preencha com um valor adequado para esta célula com base no contexto da tabela"")"),"Identifica a marca do objeto relacionado à ocorrência.")</f>
        <v>Identifica a marca do objeto relacionado à ocorrência.</v>
      </c>
      <c r="C24" s="4" t="str">
        <f>IFERROR(__xludf.DUMMYFUNCTION("AI(""Preencha com um valor adequado para esta célula com base no contexto da tabela"")"),"Texto")</f>
        <v>Texto</v>
      </c>
    </row>
    <row r="25">
      <c r="A25" s="2" t="s">
        <v>26</v>
      </c>
      <c r="B25" s="3" t="str">
        <f>IFERROR(__xludf.DUMMYFUNCTION("AI(""Preencha com um valor adequado para esta célula com base no contexto da tabela"")"),"Identifica o tipo de cor.")</f>
        <v>Identifica o tipo de cor.</v>
      </c>
      <c r="C25" s="4" t="str">
        <f>IFERROR(__xludf.DUMMYFUNCTION("AI(""Preencha com um valor adequado para esta célula com base no contexto da tabela"")"),"Texto")</f>
        <v>Texto</v>
      </c>
    </row>
    <row r="26">
      <c r="A26" s="2" t="s">
        <v>27</v>
      </c>
      <c r="B26" s="3" t="str">
        <f>IFERROR(__xludf.DUMMYFUNCTION("AI(""Preencha com um valor adequado para esta célula com base no contexto da tabela"")"),"Identifica o número de série ou identificação do objeto.")</f>
        <v>Identifica o número de série ou identificação do objeto.</v>
      </c>
      <c r="C26" s="4" t="str">
        <f>IFERROR(__xludf.DUMMYFUNCTION("AI(""Preencha com um valor adequado para esta célula com base no contexto da tabela"")"),"Alfanumérico")</f>
        <v>Alfanumérico</v>
      </c>
    </row>
    <row r="27">
      <c r="A27" s="2" t="s">
        <v>28</v>
      </c>
      <c r="B27" s="3" t="str">
        <f>IFERROR(__xludf.DUMMYFUNCTION("AI(""Preencha com um valor adequado para esta célula com base no contexto da tabela"")"),"Identifica o tipo de infração.")</f>
        <v>Identifica o tipo de infração.</v>
      </c>
      <c r="C27" s="4" t="str">
        <f>IFERROR(__xludf.DUMMYFUNCTION("AI(""Preencha com um valor adequado para esta célula com base no contexto da tabela"")"),"Texto")</f>
        <v>Texto</v>
      </c>
    </row>
    <row r="28">
      <c r="A28" s="2" t="s">
        <v>29</v>
      </c>
      <c r="B28" s="3" t="str">
        <f>IFERROR(__xludf.DUMMYFUNCTION("AI(""Preencha com um valor adequado para esta célula com base no contexto da tabela"")"),"Identifica o tipo de comprovação.")</f>
        <v>Identifica o tipo de comprovação.</v>
      </c>
      <c r="C28" s="4" t="str">
        <f>IFERROR(__xludf.DUMMYFUNCTION("AI(""Preencha com um valor adequado para esta célula com base no contexto da tabela"")"),"Texto")</f>
        <v>Texto</v>
      </c>
    </row>
    <row r="29">
      <c r="A29" s="2" t="s">
        <v>30</v>
      </c>
      <c r="B29" s="3" t="str">
        <f>IFERROR(__xludf.DUMMYFUNCTION("AI(""Preencha com um valor adequado para esta célula com base no contexto da tabela"")"),"Indica a quantidade de objetos envolvidos.")</f>
        <v>Indica a quantidade de objetos envolvidos.</v>
      </c>
      <c r="C29" s="4" t="str">
        <f>IFERROR(__xludf.DUMMYFUNCTION("AI(""Preencha com um valor adequado para esta célula com base no contexto da tabela"")"),"Numérico")</f>
        <v>Numérico</v>
      </c>
    </row>
    <row r="30">
      <c r="A30" s="2" t="s">
        <v>31</v>
      </c>
      <c r="B30" s="3" t="str">
        <f>IFERROR(__xludf.DUMMYFUNCTION("AI(""Preencha com um valor adequado para esta célula com base no contexto da tabela"")"),"Identifica a quantidade de infrações.")</f>
        <v>Identifica a quantidade de infrações.</v>
      </c>
      <c r="C30" s="4" t="str">
        <f>IFERROR(__xludf.DUMMYFUNCTION("AI(""Preencha com um valor adequado para esta célula com base no contexto da tabela"")"),"Numérico")</f>
        <v>Numérico</v>
      </c>
    </row>
    <row r="31">
      <c r="A31" s="2" t="s">
        <v>32</v>
      </c>
      <c r="B31" s="3" t="str">
        <f>IFERROR(__xludf.DUMMYFUNCTION("AI(""Preencha com um valor adequado para esta célula com base no contexto da tabela"")"),"Indica a quantidade de infratores.")</f>
        <v>Indica a quantidade de infratores.</v>
      </c>
      <c r="C31" s="4" t="str">
        <f>IFERROR(__xludf.DUMMYFUNCTION("AI(""Preencha com um valor adequado para esta célula com base no contexto da tabela"")"),"Numérico")</f>
        <v>Numérico</v>
      </c>
    </row>
    <row r="32">
      <c r="A32" s="2" t="s">
        <v>33</v>
      </c>
      <c r="B32" s="3" t="str">
        <f>IFERROR(__xludf.DUMMYFUNCTION("AI(""Preencha com um valor adequado para esta célula com base no contexto da tabela"")"),"Identifica a quantidade de testemunhas.")</f>
        <v>Identifica a quantidade de testemunhas.</v>
      </c>
      <c r="C32" s="4" t="str">
        <f>IFERROR(__xludf.DUMMYFUNCTION("AI(""Preencha com um valor adequado para esta célula com base no contexto da tabela"")"),"Numérico")</f>
        <v>Numérico</v>
      </c>
    </row>
  </sheetData>
  <drawing r:id="rId1"/>
</worksheet>
</file>